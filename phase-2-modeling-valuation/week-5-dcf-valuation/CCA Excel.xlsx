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rya\Downloads\"/>
    </mc:Choice>
  </mc:AlternateContent>
  <xr:revisionPtr revIDLastSave="0" documentId="13_ncr:1_{73DE9630-B9C6-43F8-9D88-868F98410DBA}" xr6:coauthVersionLast="47" xr6:coauthVersionMax="47" xr10:uidLastSave="{00000000-0000-0000-0000-000000000000}"/>
  <bookViews>
    <workbookView xWindow="-108" yWindow="-108" windowWidth="23256" windowHeight="12456" xr2:uid="{F15B5A21-4EDA-4144-BEF9-A3DDD769D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6" i="1" l="1"/>
  <c r="M34" i="1"/>
  <c r="M32" i="1"/>
  <c r="H36" i="1"/>
  <c r="H34" i="1"/>
  <c r="H32" i="1"/>
  <c r="D36" i="1"/>
  <c r="D34" i="1"/>
  <c r="D32" i="1"/>
  <c r="M28" i="1"/>
  <c r="M26" i="1"/>
  <c r="M24" i="1"/>
  <c r="H28" i="1"/>
  <c r="H26" i="1"/>
  <c r="H24" i="1"/>
  <c r="D28" i="1"/>
  <c r="D26" i="1"/>
  <c r="D24" i="1"/>
  <c r="O12" i="1"/>
  <c r="P12" i="1"/>
  <c r="Q12" i="1"/>
  <c r="R12" i="1"/>
  <c r="S12" i="1"/>
  <c r="M12" i="1"/>
  <c r="N12" i="1"/>
  <c r="Q11" i="1"/>
  <c r="R11" i="1"/>
  <c r="S3" i="1"/>
  <c r="S11" i="1" s="1"/>
  <c r="S4" i="1"/>
  <c r="S5" i="1"/>
  <c r="S6" i="1"/>
  <c r="S7" i="1"/>
  <c r="S2" i="1"/>
  <c r="Q10" i="1"/>
  <c r="R10" i="1"/>
  <c r="Q9" i="1"/>
  <c r="R9" i="1"/>
  <c r="P3" i="1"/>
  <c r="P4" i="1"/>
  <c r="P5" i="1"/>
  <c r="P6" i="1"/>
  <c r="P7" i="1"/>
  <c r="P2" i="1"/>
  <c r="O3" i="1"/>
  <c r="O4" i="1"/>
  <c r="O5" i="1"/>
  <c r="O6" i="1"/>
  <c r="O7" i="1"/>
  <c r="O2" i="1"/>
  <c r="N3" i="1"/>
  <c r="N4" i="1"/>
  <c r="N5" i="1"/>
  <c r="N6" i="1"/>
  <c r="N7" i="1"/>
  <c r="N2" i="1"/>
  <c r="M3" i="1"/>
  <c r="M11" i="1" s="1"/>
  <c r="M4" i="1"/>
  <c r="M5" i="1"/>
  <c r="M6" i="1"/>
  <c r="M7" i="1"/>
  <c r="M2" i="1"/>
  <c r="N11" i="1" l="1"/>
  <c r="P11" i="1"/>
  <c r="O11" i="1"/>
  <c r="O10" i="1"/>
  <c r="D20" i="1" s="1"/>
  <c r="H20" i="1" s="1"/>
  <c r="M20" i="1" s="1"/>
  <c r="M10" i="1"/>
  <c r="D16" i="1" s="1"/>
  <c r="H16" i="1" s="1"/>
  <c r="M16" i="1" s="1"/>
  <c r="N10" i="1"/>
  <c r="D18" i="1" s="1"/>
  <c r="H18" i="1" s="1"/>
  <c r="M18" i="1" s="1"/>
  <c r="O9" i="1"/>
  <c r="P9" i="1"/>
  <c r="N9" i="1"/>
  <c r="S10" i="1"/>
  <c r="P10" i="1"/>
  <c r="M9" i="1"/>
  <c r="S9" i="1"/>
</calcChain>
</file>

<file path=xl/sharedStrings.xml><?xml version="1.0" encoding="utf-8"?>
<sst xmlns="http://schemas.openxmlformats.org/spreadsheetml/2006/main" count="64" uniqueCount="42">
  <si>
    <t>S.No.</t>
  </si>
  <si>
    <t>Name</t>
  </si>
  <si>
    <r>
      <t>CMP </t>
    </r>
    <r>
      <rPr>
        <sz val="11"/>
        <color rgb="FF737373"/>
        <rFont val="Arial"/>
        <family val="2"/>
      </rPr>
      <t>Rs.</t>
    </r>
  </si>
  <si>
    <r>
      <t>Sales </t>
    </r>
    <r>
      <rPr>
        <sz val="11"/>
        <color rgb="FF737373"/>
        <rFont val="Arial"/>
        <family val="2"/>
      </rPr>
      <t>Rs.Cr.</t>
    </r>
  </si>
  <si>
    <r>
      <t>PAT 12M </t>
    </r>
    <r>
      <rPr>
        <sz val="11"/>
        <color rgb="FF737373"/>
        <rFont val="Arial"/>
        <family val="2"/>
      </rPr>
      <t>Rs.Cr.</t>
    </r>
  </si>
  <si>
    <r>
      <t>Mar Cap </t>
    </r>
    <r>
      <rPr>
        <sz val="11"/>
        <color rgb="FF737373"/>
        <rFont val="Arial"/>
        <family val="2"/>
      </rPr>
      <t>Rs.Cr.</t>
    </r>
  </si>
  <si>
    <r>
      <t>Debt </t>
    </r>
    <r>
      <rPr>
        <sz val="11"/>
        <color rgb="FF737373"/>
        <rFont val="Arial"/>
        <family val="2"/>
      </rPr>
      <t>Rs.Cr.</t>
    </r>
  </si>
  <si>
    <r>
      <t>EV </t>
    </r>
    <r>
      <rPr>
        <sz val="11"/>
        <color rgb="FF737373"/>
        <rFont val="Arial"/>
        <family val="2"/>
      </rPr>
      <t>Rs.Cr.</t>
    </r>
  </si>
  <si>
    <t>Sun Pharma.Inds.</t>
  </si>
  <si>
    <t>Cipla</t>
  </si>
  <si>
    <t>Zydus Lifesci.</t>
  </si>
  <si>
    <t>Dr Reddy's Labs</t>
  </si>
  <si>
    <t>Lupin</t>
  </si>
  <si>
    <t>EBITDA in Cr</t>
  </si>
  <si>
    <t>EBIT in Cr</t>
  </si>
  <si>
    <t>NO OF SHARES in Cr</t>
  </si>
  <si>
    <t>Cash in Cr</t>
  </si>
  <si>
    <t>Aurobindo Pharma</t>
  </si>
  <si>
    <t>EV/SALES</t>
  </si>
  <si>
    <t>EV/EBITDA</t>
  </si>
  <si>
    <t>EV/EBIT</t>
  </si>
  <si>
    <t>EBITDA MARGIN</t>
  </si>
  <si>
    <r>
      <t>ROE </t>
    </r>
    <r>
      <rPr>
        <sz val="11"/>
        <color rgb="FF737373"/>
        <rFont val="Arial"/>
        <family val="2"/>
      </rPr>
      <t>%</t>
    </r>
  </si>
  <si>
    <r>
      <t>ROCE </t>
    </r>
    <r>
      <rPr>
        <sz val="11"/>
        <color rgb="FF737373"/>
        <rFont val="Arial"/>
        <family val="2"/>
      </rPr>
      <t>%</t>
    </r>
  </si>
  <si>
    <t>MEAN</t>
  </si>
  <si>
    <t>MEDIAN</t>
  </si>
  <si>
    <t>#Sun Pharma excluded while taking mean and median</t>
  </si>
  <si>
    <t>#All of the data is taken from screener.in or annual report</t>
  </si>
  <si>
    <t>P/E</t>
  </si>
  <si>
    <t>1) Using EV/SALES</t>
  </si>
  <si>
    <t>EV=</t>
  </si>
  <si>
    <t>2) Using EV/EBITDA</t>
  </si>
  <si>
    <t>3) Using EV/EBIT</t>
  </si>
  <si>
    <t>Implied Share Price</t>
  </si>
  <si>
    <t>Valuation of Sun Pharma(Using Median Values)</t>
  </si>
  <si>
    <t>Implied Share Price= Equity Value/ Shares Outstanding</t>
  </si>
  <si>
    <t xml:space="preserve">Equity Value = EV + Cash - Debt </t>
  </si>
  <si>
    <t>Equity Value</t>
  </si>
  <si>
    <t>LOW</t>
  </si>
  <si>
    <t>HIGH</t>
  </si>
  <si>
    <t>Valuation of Sun Pharma(Using Low Values)</t>
  </si>
  <si>
    <t>Valuation of Sun Pharma(Using High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</si>
</sst>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737373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645DF9"/>
      </top>
      <bottom style="medium">
        <color rgb="FF645DF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 indent="2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6" fillId="3" borderId="0" xfId="1" applyFill="1" applyAlignment="1">
      <alignment horizontal="left" vertical="center"/>
    </xf>
    <xf numFmtId="0" fontId="5" fillId="2" borderId="0" xfId="0" applyFont="1" applyFill="1" applyAlignment="1">
      <alignment horizontal="left" vertical="center" indent="2"/>
    </xf>
    <xf numFmtId="0" fontId="6" fillId="2" borderId="0" xfId="1" applyFill="1" applyAlignment="1">
      <alignment horizontal="left" vertical="center"/>
    </xf>
    <xf numFmtId="0" fontId="5" fillId="2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left" vertical="center" indent="2"/>
    </xf>
    <xf numFmtId="0" fontId="5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4" fontId="0" fillId="0" borderId="0" xfId="0" applyNumberFormat="1"/>
    <xf numFmtId="3" fontId="0" fillId="0" borderId="0" xfId="0" applyNumberFormat="1"/>
    <xf numFmtId="0" fontId="4" fillId="2" borderId="2" xfId="0" applyFont="1" applyFill="1" applyBorder="1" applyAlignment="1">
      <alignment horizontal="left" vertical="center" indent="2"/>
    </xf>
    <xf numFmtId="0" fontId="6" fillId="2" borderId="2" xfId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 wrapText="1"/>
    </xf>
    <xf numFmtId="3" fontId="1" fillId="0" borderId="0" xfId="0" applyNumberFormat="1" applyFont="1"/>
    <xf numFmtId="0" fontId="4" fillId="2" borderId="0" xfId="0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2" borderId="0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ZYDUSLIFE/consolidated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screener.in/company/CIPLA/consolidated/" TargetMode="External"/><Relationship Id="rId1" Type="http://schemas.openxmlformats.org/officeDocument/2006/relationships/hyperlink" Target="https://www.screener.in/company/SUNPHARMA/consolidated/" TargetMode="External"/><Relationship Id="rId6" Type="http://schemas.openxmlformats.org/officeDocument/2006/relationships/hyperlink" Target="https://www.screener.in/company/AUROPHARMA/consolidated/" TargetMode="External"/><Relationship Id="rId5" Type="http://schemas.openxmlformats.org/officeDocument/2006/relationships/hyperlink" Target="https://www.screener.in/company/LUPIN/consolidated/" TargetMode="External"/><Relationship Id="rId4" Type="http://schemas.openxmlformats.org/officeDocument/2006/relationships/hyperlink" Target="https://www.screener.in/company/DRREDDY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906E-58E6-425D-92CF-A8CCA2481274}">
  <dimension ref="A1:S36"/>
  <sheetViews>
    <sheetView tabSelected="1" zoomScale="69" zoomScaleNormal="115" workbookViewId="0">
      <selection activeCell="M37" sqref="M37"/>
    </sheetView>
  </sheetViews>
  <sheetFormatPr defaultRowHeight="14.4" x14ac:dyDescent="0.3"/>
  <cols>
    <col min="1" max="1" width="8.77734375" customWidth="1"/>
    <col min="2" max="2" width="16.5546875" customWidth="1"/>
    <col min="3" max="3" width="15.109375" customWidth="1"/>
    <col min="4" max="4" width="14.5546875" customWidth="1"/>
    <col min="5" max="5" width="16.21875" customWidth="1"/>
    <col min="6" max="6" width="17.33203125" customWidth="1"/>
    <col min="7" max="7" width="18.44140625" customWidth="1"/>
    <col min="8" max="8" width="16.88671875" customWidth="1"/>
    <col min="9" max="9" width="13.77734375" customWidth="1"/>
    <col min="10" max="10" width="14.88671875" customWidth="1"/>
    <col min="11" max="11" width="12.33203125" customWidth="1"/>
    <col min="13" max="13" width="18.44140625" customWidth="1"/>
    <col min="19" max="19" width="8.88671875" customWidth="1"/>
  </cols>
  <sheetData>
    <row r="1" spans="1:19" ht="4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 t="s">
        <v>13</v>
      </c>
      <c r="J1" s="10" t="s">
        <v>14</v>
      </c>
      <c r="K1" s="10" t="s">
        <v>15</v>
      </c>
      <c r="L1" s="10" t="s">
        <v>16</v>
      </c>
      <c r="M1" s="10" t="s">
        <v>18</v>
      </c>
      <c r="N1" s="10" t="s">
        <v>19</v>
      </c>
      <c r="O1" s="10" t="s">
        <v>20</v>
      </c>
      <c r="P1" s="10" t="s">
        <v>21</v>
      </c>
      <c r="Q1" s="3" t="s">
        <v>22</v>
      </c>
      <c r="R1" s="3" t="s">
        <v>23</v>
      </c>
      <c r="S1" s="20" t="s">
        <v>28</v>
      </c>
    </row>
    <row r="2" spans="1:19" x14ac:dyDescent="0.3">
      <c r="A2" s="8">
        <v>1</v>
      </c>
      <c r="B2" s="4" t="s">
        <v>8</v>
      </c>
      <c r="C2" s="9">
        <v>1888.2</v>
      </c>
      <c r="D2" s="9">
        <v>58462.04</v>
      </c>
      <c r="E2" s="9">
        <v>12426.12</v>
      </c>
      <c r="F2" s="9">
        <v>453137.66</v>
      </c>
      <c r="G2" s="9">
        <v>4627.32</v>
      </c>
      <c r="H2" s="9">
        <v>446161.9</v>
      </c>
      <c r="I2" s="11">
        <v>15271.7</v>
      </c>
      <c r="J2" s="11">
        <v>12696.3</v>
      </c>
      <c r="K2">
        <v>239.9</v>
      </c>
      <c r="L2" s="12">
        <v>29283</v>
      </c>
      <c r="M2">
        <f>H2/D2</f>
        <v>7.6316512389920028</v>
      </c>
      <c r="N2">
        <f>H2/I2</f>
        <v>29.214946600574919</v>
      </c>
      <c r="O2">
        <f>H2/J2</f>
        <v>35.141096224884421</v>
      </c>
      <c r="P2">
        <f>I2/D2</f>
        <v>0.2612242063397035</v>
      </c>
      <c r="Q2" s="9">
        <v>15.95</v>
      </c>
      <c r="R2" s="9">
        <v>20.53</v>
      </c>
      <c r="S2">
        <f>F2/E2</f>
        <v>36.466544665591506</v>
      </c>
    </row>
    <row r="3" spans="1:19" x14ac:dyDescent="0.3">
      <c r="A3" s="5">
        <v>2</v>
      </c>
      <c r="B3" s="6" t="s">
        <v>9</v>
      </c>
      <c r="C3" s="7">
        <v>1431.8</v>
      </c>
      <c r="D3" s="7">
        <v>28162.59</v>
      </c>
      <c r="E3" s="7">
        <v>3806.3</v>
      </c>
      <c r="F3" s="7">
        <v>115623.49</v>
      </c>
      <c r="G3" s="7">
        <v>613.77</v>
      </c>
      <c r="H3" s="7">
        <v>114929.84</v>
      </c>
      <c r="I3" s="12">
        <v>6291</v>
      </c>
      <c r="J3" s="16">
        <v>5184</v>
      </c>
      <c r="K3">
        <v>80.760000000000005</v>
      </c>
      <c r="L3" s="12">
        <v>9836</v>
      </c>
      <c r="M3">
        <f t="shared" ref="M3:M7" si="0">H3/D3</f>
        <v>4.0809399987714201</v>
      </c>
      <c r="N3">
        <f t="shared" ref="N3:N7" si="1">H3/I3</f>
        <v>18.26893021777142</v>
      </c>
      <c r="O3">
        <f t="shared" ref="O3:O7" si="2">H3/J3</f>
        <v>22.170108024691359</v>
      </c>
      <c r="P3">
        <f t="shared" ref="P3:P7" si="3">I3/D3</f>
        <v>0.22338144325504153</v>
      </c>
      <c r="Q3" s="7">
        <v>11.6</v>
      </c>
      <c r="R3" s="7">
        <v>15.49</v>
      </c>
      <c r="S3">
        <f t="shared" ref="S3:S7" si="4">F3/E3</f>
        <v>30.376872553398314</v>
      </c>
    </row>
    <row r="4" spans="1:19" x14ac:dyDescent="0.3">
      <c r="A4" s="8">
        <v>3</v>
      </c>
      <c r="B4" s="4" t="s">
        <v>10</v>
      </c>
      <c r="C4" s="9">
        <v>1148</v>
      </c>
      <c r="D4" s="9">
        <v>27148.400000000001</v>
      </c>
      <c r="E4" s="9">
        <v>5425.79</v>
      </c>
      <c r="F4" s="9">
        <v>114523.37</v>
      </c>
      <c r="G4" s="9">
        <v>12496</v>
      </c>
      <c r="H4" s="9">
        <v>125602.77</v>
      </c>
      <c r="I4" s="12">
        <v>7328</v>
      </c>
      <c r="J4" s="12">
        <v>6412</v>
      </c>
      <c r="K4" s="9">
        <v>100.6</v>
      </c>
      <c r="L4" s="9">
        <v>4884</v>
      </c>
      <c r="M4">
        <f t="shared" si="0"/>
        <v>4.6265256884383605</v>
      </c>
      <c r="N4">
        <f t="shared" si="1"/>
        <v>17.140115993449783</v>
      </c>
      <c r="O4">
        <f t="shared" si="2"/>
        <v>19.588703992514038</v>
      </c>
      <c r="P4">
        <f t="shared" si="3"/>
        <v>0.26992382608183169</v>
      </c>
      <c r="Q4" s="9">
        <v>21.25</v>
      </c>
      <c r="R4" s="9">
        <v>21.15</v>
      </c>
      <c r="S4">
        <f t="shared" si="4"/>
        <v>21.107224938672523</v>
      </c>
    </row>
    <row r="5" spans="1:19" x14ac:dyDescent="0.3">
      <c r="A5" s="5">
        <v>4</v>
      </c>
      <c r="B5" s="6" t="s">
        <v>11</v>
      </c>
      <c r="C5" s="7">
        <v>1349</v>
      </c>
      <c r="D5" s="7">
        <v>33700.199999999997</v>
      </c>
      <c r="E5" s="7">
        <v>4007.16</v>
      </c>
      <c r="F5" s="7">
        <v>112668.46</v>
      </c>
      <c r="G5" s="7">
        <v>7734.1</v>
      </c>
      <c r="H5" s="7">
        <v>117053.86</v>
      </c>
      <c r="I5" s="12">
        <v>9213</v>
      </c>
      <c r="J5" s="12">
        <v>7509</v>
      </c>
      <c r="K5" s="7">
        <v>83.3</v>
      </c>
      <c r="L5" s="12">
        <v>6830</v>
      </c>
      <c r="M5">
        <f t="shared" si="0"/>
        <v>3.4733876950285163</v>
      </c>
      <c r="N5">
        <f t="shared" si="1"/>
        <v>12.7052925214371</v>
      </c>
      <c r="O5">
        <f t="shared" si="2"/>
        <v>15.588475163137568</v>
      </c>
      <c r="P5">
        <f t="shared" si="3"/>
        <v>0.27338116687734793</v>
      </c>
      <c r="Q5" s="7">
        <v>11.22</v>
      </c>
      <c r="R5" s="7">
        <v>13.04</v>
      </c>
      <c r="S5">
        <f t="shared" si="4"/>
        <v>28.116785953143875</v>
      </c>
    </row>
    <row r="6" spans="1:19" ht="15" thickBot="1" x14ac:dyDescent="0.35">
      <c r="A6" s="8">
        <v>5</v>
      </c>
      <c r="B6" s="4" t="s">
        <v>12</v>
      </c>
      <c r="C6" s="9">
        <v>2459</v>
      </c>
      <c r="D6" s="9">
        <v>27958.03</v>
      </c>
      <c r="E6" s="9">
        <v>5764.93</v>
      </c>
      <c r="F6" s="9">
        <v>112449.29</v>
      </c>
      <c r="G6" s="9">
        <v>6616.18</v>
      </c>
      <c r="H6" s="9">
        <v>113412.57</v>
      </c>
      <c r="I6" s="12">
        <v>5479</v>
      </c>
      <c r="J6" s="12">
        <v>4310</v>
      </c>
      <c r="K6" s="9">
        <v>45.61</v>
      </c>
      <c r="L6" s="12">
        <v>1544</v>
      </c>
      <c r="M6">
        <f t="shared" si="0"/>
        <v>4.0565293763544856</v>
      </c>
      <c r="N6">
        <f t="shared" si="1"/>
        <v>20.699501733893047</v>
      </c>
      <c r="O6">
        <f t="shared" si="2"/>
        <v>26.313821345707659</v>
      </c>
      <c r="P6">
        <f t="shared" si="3"/>
        <v>0.19597231993813585</v>
      </c>
      <c r="Q6" s="9">
        <v>29.08</v>
      </c>
      <c r="R6" s="9">
        <v>30.32</v>
      </c>
      <c r="S6">
        <f t="shared" si="4"/>
        <v>19.505751153960237</v>
      </c>
    </row>
    <row r="7" spans="1:19" ht="15" thickBot="1" x14ac:dyDescent="0.35">
      <c r="A7" s="13">
        <v>6</v>
      </c>
      <c r="B7" s="14" t="s">
        <v>17</v>
      </c>
      <c r="C7" s="15">
        <v>1557.4</v>
      </c>
      <c r="D7" s="15">
        <v>33653.08</v>
      </c>
      <c r="E7" s="15">
        <v>3547.89</v>
      </c>
      <c r="F7" s="15">
        <v>90459.75</v>
      </c>
      <c r="G7" s="15">
        <v>8072.84</v>
      </c>
      <c r="H7" s="15">
        <v>88662.3</v>
      </c>
      <c r="I7" s="12">
        <v>6605</v>
      </c>
      <c r="J7" s="12">
        <v>5133</v>
      </c>
      <c r="K7" s="17">
        <v>58.57</v>
      </c>
      <c r="L7" s="12">
        <v>5301</v>
      </c>
      <c r="M7">
        <f t="shared" si="0"/>
        <v>2.634596892765833</v>
      </c>
      <c r="N7">
        <f t="shared" si="1"/>
        <v>13.423512490537473</v>
      </c>
      <c r="O7">
        <f t="shared" si="2"/>
        <v>17.272998246639393</v>
      </c>
      <c r="P7">
        <f t="shared" si="3"/>
        <v>0.19626732530870875</v>
      </c>
      <c r="Q7" s="17">
        <v>10.06</v>
      </c>
      <c r="R7" s="17">
        <v>12.8</v>
      </c>
      <c r="S7">
        <f t="shared" si="4"/>
        <v>25.496774138995292</v>
      </c>
    </row>
    <row r="8" spans="1:19" x14ac:dyDescent="0.3">
      <c r="A8" t="s">
        <v>27</v>
      </c>
      <c r="H8" t="s">
        <v>26</v>
      </c>
      <c r="L8" s="12"/>
      <c r="Q8" s="17"/>
      <c r="R8" s="17"/>
    </row>
    <row r="9" spans="1:19" ht="15" x14ac:dyDescent="0.3">
      <c r="A9" s="18"/>
      <c r="B9" s="19"/>
      <c r="L9" t="s">
        <v>24</v>
      </c>
      <c r="M9">
        <f>AVERAGE(M3:M7)</f>
        <v>3.7743959302717229</v>
      </c>
      <c r="N9">
        <f>AVERAGE(N3:N7)</f>
        <v>16.447470591417765</v>
      </c>
      <c r="O9">
        <f t="shared" ref="O9:S9" si="5">AVERAGE(O3:O7)</f>
        <v>20.186821354538004</v>
      </c>
      <c r="P9">
        <f t="shared" si="5"/>
        <v>0.23178521629221316</v>
      </c>
      <c r="Q9">
        <f t="shared" si="5"/>
        <v>16.642000000000003</v>
      </c>
      <c r="R9">
        <f t="shared" si="5"/>
        <v>18.559999999999999</v>
      </c>
      <c r="S9">
        <f t="shared" si="5"/>
        <v>24.920681747634049</v>
      </c>
    </row>
    <row r="10" spans="1:19" ht="15" thickBot="1" x14ac:dyDescent="0.35">
      <c r="A10" s="1"/>
      <c r="B10" s="2"/>
      <c r="C10" s="3"/>
      <c r="D10" s="3"/>
      <c r="E10" s="3"/>
      <c r="L10" t="s">
        <v>25</v>
      </c>
      <c r="M10">
        <f>MEDIAN(M3:M7)</f>
        <v>4.0565293763544856</v>
      </c>
      <c r="N10">
        <f>MEDIAN(N3:N7)</f>
        <v>17.140115993449783</v>
      </c>
      <c r="O10">
        <f t="shared" ref="O10:S10" si="6">MEDIAN(O3:O7)</f>
        <v>19.588703992514038</v>
      </c>
      <c r="P10">
        <f t="shared" si="6"/>
        <v>0.22338144325504153</v>
      </c>
      <c r="Q10">
        <f t="shared" si="6"/>
        <v>11.6</v>
      </c>
      <c r="R10">
        <f t="shared" si="6"/>
        <v>15.49</v>
      </c>
      <c r="S10">
        <f t="shared" si="6"/>
        <v>25.496774138995292</v>
      </c>
    </row>
    <row r="11" spans="1:19" x14ac:dyDescent="0.3">
      <c r="L11" t="s">
        <v>38</v>
      </c>
      <c r="M11">
        <f>_xlfn.PERCENTILE.INC(M3:M7,0.25)</f>
        <v>3.4733876950285163</v>
      </c>
      <c r="N11">
        <f t="shared" ref="N11:S11" si="7">_xlfn.PERCENTILE.INC(N3:N7,0.25)</f>
        <v>13.423512490537473</v>
      </c>
      <c r="O11">
        <f t="shared" si="7"/>
        <v>17.272998246639393</v>
      </c>
      <c r="P11">
        <f t="shared" si="7"/>
        <v>0.19626732530870875</v>
      </c>
      <c r="Q11">
        <f t="shared" si="7"/>
        <v>11.22</v>
      </c>
      <c r="R11">
        <f t="shared" si="7"/>
        <v>13.04</v>
      </c>
      <c r="S11">
        <f t="shared" si="7"/>
        <v>21.107224938672523</v>
      </c>
    </row>
    <row r="12" spans="1:19" x14ac:dyDescent="0.3">
      <c r="L12" t="s">
        <v>39</v>
      </c>
      <c r="M12">
        <f>_xlfn.PERCENTILE.INC(M3:M7,0.75)</f>
        <v>4.0809399987714201</v>
      </c>
      <c r="N12">
        <f>_xlfn.PERCENTILE.INC(N3:N7,0.75)</f>
        <v>18.26893021777142</v>
      </c>
      <c r="O12">
        <f t="shared" ref="O12:S12" si="8">_xlfn.PERCENTILE.INC(O3:O7,0.75)</f>
        <v>22.170108024691359</v>
      </c>
      <c r="P12">
        <f t="shared" si="8"/>
        <v>0.26992382608183169</v>
      </c>
      <c r="Q12">
        <f t="shared" si="8"/>
        <v>21.25</v>
      </c>
      <c r="R12">
        <f t="shared" si="8"/>
        <v>21.15</v>
      </c>
      <c r="S12">
        <f t="shared" si="8"/>
        <v>28.116785953143875</v>
      </c>
    </row>
    <row r="14" spans="1:19" x14ac:dyDescent="0.3">
      <c r="C14" t="s">
        <v>34</v>
      </c>
    </row>
    <row r="15" spans="1:19" x14ac:dyDescent="0.3">
      <c r="C15" t="s">
        <v>29</v>
      </c>
      <c r="H15" t="s">
        <v>37</v>
      </c>
      <c r="M15" t="s">
        <v>33</v>
      </c>
    </row>
    <row r="16" spans="1:19" x14ac:dyDescent="0.3">
      <c r="C16" t="s">
        <v>30</v>
      </c>
      <c r="D16">
        <f>M10*D2</f>
        <v>237152.98266161099</v>
      </c>
      <c r="F16" t="s">
        <v>36</v>
      </c>
      <c r="H16" s="12">
        <f>D16+L2-G2</f>
        <v>261808.66266161099</v>
      </c>
      <c r="I16" t="s">
        <v>35</v>
      </c>
      <c r="M16">
        <f>H16/K2</f>
        <v>1091.3241461509419</v>
      </c>
    </row>
    <row r="17" spans="3:13" x14ac:dyDescent="0.3">
      <c r="C17" t="s">
        <v>31</v>
      </c>
    </row>
    <row r="18" spans="3:13" x14ac:dyDescent="0.3">
      <c r="C18" t="s">
        <v>30</v>
      </c>
      <c r="D18">
        <f>N10*I2</f>
        <v>261758.70941716706</v>
      </c>
      <c r="H18" s="12">
        <f>D18+L2-G2</f>
        <v>286414.38941716705</v>
      </c>
      <c r="M18">
        <f>H18/K2</f>
        <v>1193.8907437147438</v>
      </c>
    </row>
    <row r="19" spans="3:13" x14ac:dyDescent="0.3">
      <c r="C19" t="s">
        <v>32</v>
      </c>
    </row>
    <row r="20" spans="3:13" x14ac:dyDescent="0.3">
      <c r="C20" t="s">
        <v>30</v>
      </c>
      <c r="D20">
        <f>O10*J2</f>
        <v>248704.06250015597</v>
      </c>
      <c r="H20" s="12">
        <f>D20+L2-G2</f>
        <v>273359.74250015599</v>
      </c>
      <c r="M20">
        <f>H20/K2</f>
        <v>1139.4737077955647</v>
      </c>
    </row>
    <row r="22" spans="3:13" x14ac:dyDescent="0.3">
      <c r="C22" t="s">
        <v>40</v>
      </c>
    </row>
    <row r="23" spans="3:13" x14ac:dyDescent="0.3">
      <c r="C23" t="s">
        <v>29</v>
      </c>
      <c r="H23" t="s">
        <v>37</v>
      </c>
      <c r="M23" t="s">
        <v>33</v>
      </c>
    </row>
    <row r="24" spans="3:13" x14ac:dyDescent="0.3">
      <c r="C24" t="s">
        <v>30</v>
      </c>
      <c r="D24">
        <f>M11*D2</f>
        <v>203061.33036226491</v>
      </c>
      <c r="F24" t="s">
        <v>36</v>
      </c>
      <c r="H24" s="12">
        <f>D24+L2-G2</f>
        <v>227717.0103622649</v>
      </c>
      <c r="I24" t="s">
        <v>35</v>
      </c>
      <c r="M24">
        <f>H24/K2</f>
        <v>949.216383335827</v>
      </c>
    </row>
    <row r="25" spans="3:13" x14ac:dyDescent="0.3">
      <c r="C25" t="s">
        <v>31</v>
      </c>
    </row>
    <row r="26" spans="3:13" x14ac:dyDescent="0.3">
      <c r="C26" t="s">
        <v>30</v>
      </c>
      <c r="D26">
        <f>N11*I2</f>
        <v>204999.85570174112</v>
      </c>
      <c r="H26" s="12">
        <f>D26+L2-G2</f>
        <v>229655.53570174112</v>
      </c>
      <c r="M26">
        <f>H26/K2</f>
        <v>957.29693914856648</v>
      </c>
    </row>
    <row r="27" spans="3:13" x14ac:dyDescent="0.3">
      <c r="C27" t="s">
        <v>32</v>
      </c>
    </row>
    <row r="28" spans="3:13" x14ac:dyDescent="0.3">
      <c r="C28" t="s">
        <v>30</v>
      </c>
      <c r="D28">
        <f>O11*J2</f>
        <v>219303.1676388077</v>
      </c>
      <c r="H28" s="12">
        <f>D28+L2-G2</f>
        <v>243958.8476388077</v>
      </c>
      <c r="M28">
        <f>H28/K2</f>
        <v>1016.9189147094943</v>
      </c>
    </row>
    <row r="30" spans="3:13" x14ac:dyDescent="0.3">
      <c r="C30" t="s">
        <v>41</v>
      </c>
    </row>
    <row r="31" spans="3:13" x14ac:dyDescent="0.3">
      <c r="C31" t="s">
        <v>29</v>
      </c>
      <c r="H31" t="s">
        <v>37</v>
      </c>
      <c r="M31" t="s">
        <v>33</v>
      </c>
    </row>
    <row r="32" spans="3:13" x14ac:dyDescent="0.3">
      <c r="C32" t="s">
        <v>30</v>
      </c>
      <c r="D32">
        <f>M12*D2</f>
        <v>238580.07744577472</v>
      </c>
      <c r="F32" t="s">
        <v>36</v>
      </c>
      <c r="H32" s="12">
        <f>D32+L2-G2</f>
        <v>263235.75744577468</v>
      </c>
      <c r="I32" t="s">
        <v>35</v>
      </c>
      <c r="M32">
        <f>H32/K2</f>
        <v>1097.2728530461636</v>
      </c>
    </row>
    <row r="33" spans="3:13" x14ac:dyDescent="0.3">
      <c r="C33" t="s">
        <v>31</v>
      </c>
    </row>
    <row r="34" spans="3:13" x14ac:dyDescent="0.3">
      <c r="C34" t="s">
        <v>30</v>
      </c>
      <c r="D34">
        <f>N12*I2</f>
        <v>278997.62160673982</v>
      </c>
      <c r="H34" s="12">
        <f>D34+L2-G2</f>
        <v>303653.30160673981</v>
      </c>
      <c r="M34">
        <f>H34/K2</f>
        <v>1265.7494856471021</v>
      </c>
    </row>
    <row r="35" spans="3:13" x14ac:dyDescent="0.3">
      <c r="C35" t="s">
        <v>32</v>
      </c>
    </row>
    <row r="36" spans="3:13" x14ac:dyDescent="0.3">
      <c r="C36" t="s">
        <v>30</v>
      </c>
      <c r="D36">
        <f>O12*J2</f>
        <v>281478.3425138889</v>
      </c>
      <c r="H36" s="12">
        <f>D36+L2-G2</f>
        <v>306134.02251388889</v>
      </c>
      <c r="M36">
        <f>H36/K2</f>
        <v>1276.0901313626048</v>
      </c>
    </row>
  </sheetData>
  <hyperlinks>
    <hyperlink ref="B2" r:id="rId1" display="https://www.screener.in/company/SUNPHARMA/consolidated/" xr:uid="{A036CA2B-0848-4F3B-8A42-31E443011D0F}"/>
    <hyperlink ref="B3" r:id="rId2" display="https://www.screener.in/company/CIPLA/consolidated/" xr:uid="{4BB972B9-1A36-41F9-B6E6-EC524156896B}"/>
    <hyperlink ref="B4" r:id="rId3" display="https://www.screener.in/company/ZYDUSLIFE/consolidated/" xr:uid="{75F783E2-8A32-4B47-A2A8-6384D52D02BB}"/>
    <hyperlink ref="B5" r:id="rId4" display="https://www.screener.in/company/DRREDDY/consolidated/" xr:uid="{313A86EB-10CD-47AE-BADD-59BFA8533750}"/>
    <hyperlink ref="B6" r:id="rId5" display="https://www.screener.in/company/LUPIN/consolidated/" xr:uid="{8F9E0158-C004-49A3-A419-2914ACE38F08}"/>
    <hyperlink ref="B7" r:id="rId6" display="https://www.screener.in/company/AUROPHARMA/consolidated/" xr:uid="{788ABC12-0691-4585-BF6B-42EA108699B7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irniraya</dc:creator>
  <cp:lastModifiedBy>shaurya irniraya</cp:lastModifiedBy>
  <dcterms:created xsi:type="dcterms:W3CDTF">2026-07-08T16:42:01Z</dcterms:created>
  <dcterms:modified xsi:type="dcterms:W3CDTF">2026-07-09T09:58:44Z</dcterms:modified>
</cp:coreProperties>
</file>